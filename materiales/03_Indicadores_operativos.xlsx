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dicadores" sheetId="1" state="visible" r:id="rId3"/>
    <sheet name="Metas" sheetId="2" state="visible" r:id="rId4"/>
    <sheet name="Tecnologia" sheetId="3" state="visible" r:id="rId5"/>
    <sheet name="Presupuesto" sheetId="4" state="visible" r:id="rId6"/>
    <sheet name="Resumen" sheetId="5" state="visible" r:id="rId7"/>
    <sheet name="_Grafico" sheetId="6" state="hidden" r:id="rId8"/>
    <sheet name="Diccionario" sheetId="7" state="visible" r:id="rId9"/>
  </sheets>
  <definedNames>
    <definedName function="false" hidden="false" localSheetId="6" name="_xlnm.Print_Area" vbProcedure="false">Diccionario!$A$1:$C$17</definedName>
    <definedName function="false" hidden="false" localSheetId="0" name="_xlnm.Print_Area" vbProcedure="false">Indicadores!$A$1:$N$33</definedName>
    <definedName function="false" hidden="false" localSheetId="0" name="_xlnm.Print_Titles" vbProcedure="false">Indicadores!$1:$1</definedName>
    <definedName function="false" hidden="true" localSheetId="0" name="_xlnm._FilterDatabase" vbProcedure="false">Indicadores!$A$1:$N$33</definedName>
    <definedName function="false" hidden="false" localSheetId="1" name="_xlnm.Print_Area" vbProcedure="false">Metas!$A$1:$D$8</definedName>
    <definedName function="false" hidden="true" localSheetId="1" name="_xlnm._FilterDatabase" vbProcedure="false">Metas!$A$1:$D$8</definedName>
    <definedName function="false" hidden="false" localSheetId="3" name="_xlnm.Print_Area" vbProcedure="false">Presupuesto!$A$1:$D$9</definedName>
    <definedName function="false" hidden="true" localSheetId="3" name="_xlnm._FilterDatabase" vbProcedure="false">Presupuesto!$A$1:$D$9</definedName>
    <definedName function="false" hidden="false" localSheetId="4" name="_xlnm.Print_Area" vbProcedure="false">Resumen!$A$1:$K$25</definedName>
    <definedName function="false" hidden="false" localSheetId="2" name="_xlnm.Print_Area" vbProcedure="false">Tecnologia!$A$1:$D$6</definedName>
    <definedName function="false" hidden="true" localSheetId="2" name="_xlnm._FilterDatabase" vbProcedure="false">Tecnologia!$A$1:$D$6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<sst xmlns="http://schemas.openxmlformats.org/spreadsheetml/2006/main" count="183" uniqueCount="98">
  <si>
    <t xml:space="preserve">Semana</t>
  </si>
  <si>
    <t xml:space="preserve">Fecha_fin</t>
  </si>
  <si>
    <t xml:space="preserve">Region</t>
  </si>
  <si>
    <t xml:space="preserve">Pedidos</t>
  </si>
  <si>
    <t xml:space="preserve">Ingresos_COP</t>
  </si>
  <si>
    <t xml:space="preserve">Entregas_a_tiempo_pct</t>
  </si>
  <si>
    <t xml:space="preserve">Devoluciones_pct</t>
  </si>
  <si>
    <t xml:space="preserve">No_conformidades_pct</t>
  </si>
  <si>
    <t xml:space="preserve">Tickets_soporte</t>
  </si>
  <si>
    <t xml:space="preserve">Backlog_pedidos</t>
  </si>
  <si>
    <t xml:space="preserve">Costo_logistico_COP</t>
  </si>
  <si>
    <t xml:space="preserve">Presupuesto_logistico_COP</t>
  </si>
  <si>
    <t xml:space="preserve">CSAT</t>
  </si>
  <si>
    <t xml:space="preserve">Tiempo_preparacion_min</t>
  </si>
  <si>
    <t xml:space="preserve">Norte</t>
  </si>
  <si>
    <t xml:space="preserve">Centro</t>
  </si>
  <si>
    <t xml:space="preserve">Sur</t>
  </si>
  <si>
    <t xml:space="preserve">Occidente</t>
  </si>
  <si>
    <t xml:space="preserve">Indicador</t>
  </si>
  <si>
    <t xml:space="preserve">Meta</t>
  </si>
  <si>
    <t xml:space="preserve">Regla</t>
  </si>
  <si>
    <t xml:space="preserve">Unidad</t>
  </si>
  <si>
    <t xml:space="preserve">Mayor o igual</t>
  </si>
  <si>
    <t xml:space="preserve">%</t>
  </si>
  <si>
    <t xml:space="preserve">Menor o igual</t>
  </si>
  <si>
    <t xml:space="preserve">Puntos</t>
  </si>
  <si>
    <t xml:space="preserve">Minutos</t>
  </si>
  <si>
    <t xml:space="preserve">COP</t>
  </si>
  <si>
    <t xml:space="preserve">Valor</t>
  </si>
  <si>
    <t xml:space="preserve">Interpretación</t>
  </si>
  <si>
    <t xml:space="preserve">Pedidos procesados en cuatro semanas</t>
  </si>
  <si>
    <t xml:space="preserve">Base del análisis tecnológico</t>
  </si>
  <si>
    <t xml:space="preserve">Diferencias temporales de inventario</t>
  </si>
  <si>
    <t xml:space="preserve">Casos</t>
  </si>
  <si>
    <t xml:space="preserve">Requiere monitoreo y procedimiento de contingencia</t>
  </si>
  <si>
    <t xml:space="preserve">Notificaciones duplicadas</t>
  </si>
  <si>
    <t xml:space="preserve">Ajuste de idempotencia en pruebas</t>
  </si>
  <si>
    <t xml:space="preserve">Umbral de alerta de sincronización</t>
  </si>
  <si>
    <t xml:space="preserve">Generar alerta cuando la cola supere este tiempo</t>
  </si>
  <si>
    <t xml:space="preserve">Guardia técnica propuesta</t>
  </si>
  <si>
    <t xml:space="preserve">07:00-21:00</t>
  </si>
  <si>
    <t xml:space="preserve">Horario</t>
  </si>
  <si>
    <t xml:space="preserve">Primeros tres días de cada oleada</t>
  </si>
  <si>
    <t xml:space="preserve">Concepto</t>
  </si>
  <si>
    <t xml:space="preserve">Importe_COP</t>
  </si>
  <si>
    <t xml:space="preserve">Estado</t>
  </si>
  <si>
    <t xml:space="preserve">Condición</t>
  </si>
  <si>
    <t xml:space="preserve">Presupuesto base disponible</t>
  </si>
  <si>
    <t xml:space="preserve">Disponible</t>
  </si>
  <si>
    <t xml:space="preserve">Gastos asociados con actividad y responsable</t>
  </si>
  <si>
    <t xml:space="preserve">Ruta adicional de Logística Andina</t>
  </si>
  <si>
    <t xml:space="preserve">Propuesta</t>
  </si>
  <si>
    <t xml:space="preserve">Adenda, pronóstico y aceptación antes del 30 de julio</t>
  </si>
  <si>
    <t xml:space="preserve">Monitoreo y guardia técnica</t>
  </si>
  <si>
    <t xml:space="preserve">Estimación</t>
  </si>
  <si>
    <t xml:space="preserve">Validación de alcance y licencias temporales</t>
  </si>
  <si>
    <t xml:space="preserve">Adecuaciones operativas y staging</t>
  </si>
  <si>
    <t xml:space="preserve">Evidencia por tienda y criterio de cierre</t>
  </si>
  <si>
    <t xml:space="preserve">Contingencia adicional máxima</t>
  </si>
  <si>
    <t xml:space="preserve">Pendiente de aprobación</t>
  </si>
  <si>
    <t xml:space="preserve">Evidencia, cotización y aprobación conjunta</t>
  </si>
  <si>
    <t xml:space="preserve">Total de solicitudes estimadas</t>
  </si>
  <si>
    <t xml:space="preserve">Calculado</t>
  </si>
  <si>
    <t xml:space="preserve">Brecha frente al presupuesto base</t>
  </si>
  <si>
    <t xml:space="preserve">Resumen de indicadores por región - última semana</t>
  </si>
  <si>
    <t xml:space="preserve">Región</t>
  </si>
  <si>
    <t xml:space="preserve">Entregas a tiempo</t>
  </si>
  <si>
    <t xml:space="preserve">Devoluciones</t>
  </si>
  <si>
    <t xml:space="preserve">No conformidades</t>
  </si>
  <si>
    <t xml:space="preserve">Backlog</t>
  </si>
  <si>
    <t xml:space="preserve">Costo logístico</t>
  </si>
  <si>
    <t xml:space="preserve">Presupuesto</t>
  </si>
  <si>
    <t xml:space="preserve">Variación costo</t>
  </si>
  <si>
    <t xml:space="preserve">Tiempo preparación</t>
  </si>
  <si>
    <t xml:space="preserve">Caso ficticio: Comercializadora Valle Azul S.A.S. - Expansión Compra y Recoge</t>
  </si>
  <si>
    <t xml:space="preserve">Los importes se expresan en pesos colombianos (COP). Las posibles causas deben validarse con la reunión, Teams y la cadena de correos.</t>
  </si>
  <si>
    <t xml:space="preserve">Campo</t>
  </si>
  <si>
    <t xml:space="preserve">Descripción</t>
  </si>
  <si>
    <t xml:space="preserve">Tipo</t>
  </si>
  <si>
    <t xml:space="preserve">Número consecutivo de semana analizada.</t>
  </si>
  <si>
    <t xml:space="preserve">Entero</t>
  </si>
  <si>
    <t xml:space="preserve">Fecha de cierre de la semana.</t>
  </si>
  <si>
    <t xml:space="preserve">Fecha</t>
  </si>
  <si>
    <t xml:space="preserve">Norte, Centro, Sur u Occidente.</t>
  </si>
  <si>
    <t xml:space="preserve">Texto</t>
  </si>
  <si>
    <t xml:space="preserve">Pedidos procesados.</t>
  </si>
  <si>
    <t xml:space="preserve">Ingresos semanales ficticios.</t>
  </si>
  <si>
    <t xml:space="preserve">Moneda COP</t>
  </si>
  <si>
    <t xml:space="preserve">Proporción entregada dentro del compromiso.</t>
  </si>
  <si>
    <t xml:space="preserve">Porcentaje</t>
  </si>
  <si>
    <t xml:space="preserve">Proporción de pedidos devueltos.</t>
  </si>
  <si>
    <t xml:space="preserve">Proporción con fallas de preparación, empaque, rotulado o contenido.</t>
  </si>
  <si>
    <t xml:space="preserve">Casos de soporte.</t>
  </si>
  <si>
    <t xml:space="preserve">Pedidos abiertos al cierre.</t>
  </si>
  <si>
    <t xml:space="preserve">Costo logístico real.</t>
  </si>
  <si>
    <t xml:space="preserve">Presupuesto logístico aprobado.</t>
  </si>
  <si>
    <t xml:space="preserve">Satisfacción del cliente de 0 a 100.</t>
  </si>
  <si>
    <t xml:space="preserve">Tiempo promedio de preparación por pedido.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</si>
</sst>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&quot;COP &quot;#,##0"/>
    <numFmt numFmtId="167" formatCode="0.0%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theme="1"/>
      <name val="Calibri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Cambria"/>
      <family val="0"/>
      <charset val="1"/>
    </font>
    <font>
      <i val="true"/>
      <sz val="11"/>
      <color rgb="FF595959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F6F9FC"/>
        <bgColor rgb="FFFFFFFF"/>
      </patternFill>
    </fill>
    <fill>
      <patternFill patternType="solid">
        <fgColor rgb="FFFFF2CC"/>
        <bgColor rgb="FFF6F9F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6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74E13"/>
      </font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2CC"/>
      <rgbColor rgb="FFF6F9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7365D"/>
      <rgbColor rgb="FF339966"/>
      <rgbColor rgb="FF003300"/>
      <rgbColor rgb="FF274E13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Entregas a tiempo por región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_Grafico!B1</c:f>
              <c:strCache>
                <c:ptCount val="1"/>
                <c:pt idx="0">
                  <c:v>Norte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_Grafico!$A$2:$A$9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_Grafico!$B$2:$B$9</c:f>
              <c:numCache>
                <c:formatCode>0.0%</c:formatCode>
                <c:ptCount val="8"/>
                <c:pt idx="0">
                  <c:v>0.95</c:v>
                </c:pt>
                <c:pt idx="1">
                  <c:v>0.95</c:v>
                </c:pt>
                <c:pt idx="2">
                  <c:v>0.94</c:v>
                </c:pt>
                <c:pt idx="3">
                  <c:v>0.92</c:v>
                </c:pt>
                <c:pt idx="4">
                  <c:v>0.88</c:v>
                </c:pt>
                <c:pt idx="5">
                  <c:v>0.82</c:v>
                </c:pt>
                <c:pt idx="6">
                  <c:v>0.83</c:v>
                </c:pt>
                <c:pt idx="7">
                  <c:v>0.85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_Grafico!C1</c:f>
              <c:strCache>
                <c:ptCount val="1"/>
                <c:pt idx="0">
                  <c:v>Centro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_Grafico!$A$2:$A$9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_Grafico!$C$2:$C$9</c:f>
              <c:numCache>
                <c:formatCode>0.0%</c:formatCode>
                <c:ptCount val="8"/>
                <c:pt idx="0">
                  <c:v>0.95</c:v>
                </c:pt>
                <c:pt idx="1">
                  <c:v>0.95</c:v>
                </c:pt>
                <c:pt idx="2">
                  <c:v>0.94</c:v>
                </c:pt>
                <c:pt idx="3">
                  <c:v>0.94</c:v>
                </c:pt>
                <c:pt idx="4">
                  <c:v>0.93</c:v>
                </c:pt>
                <c:pt idx="5">
                  <c:v>0.92</c:v>
                </c:pt>
                <c:pt idx="6">
                  <c:v>0.92</c:v>
                </c:pt>
                <c:pt idx="7">
                  <c:v>0.92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_Grafico!D1</c:f>
              <c:strCache>
                <c:ptCount val="1"/>
                <c:pt idx="0">
                  <c:v>Sur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_Grafico!$A$2:$A$9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_Grafico!$D$2:$D$9</c:f>
              <c:numCache>
                <c:formatCode>0.0%</c:formatCode>
                <c:ptCount val="8"/>
                <c:pt idx="0">
                  <c:v>0.94</c:v>
                </c:pt>
                <c:pt idx="1">
                  <c:v>0.94</c:v>
                </c:pt>
                <c:pt idx="2">
                  <c:v>0.93</c:v>
                </c:pt>
                <c:pt idx="3">
                  <c:v>0.92</c:v>
                </c:pt>
                <c:pt idx="4">
                  <c:v>0.9</c:v>
                </c:pt>
                <c:pt idx="5">
                  <c:v>0.89</c:v>
                </c:pt>
                <c:pt idx="6">
                  <c:v>0.9</c:v>
                </c:pt>
                <c:pt idx="7">
                  <c:v>0.91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_Grafico!E1</c:f>
              <c:strCache>
                <c:ptCount val="1"/>
                <c:pt idx="0">
                  <c:v>Occidente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_Grafico!$A$2:$A$9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_Grafico!$E$2:$E$9</c:f>
              <c:numCache>
                <c:formatCode>0.0%</c:formatCode>
                <c:ptCount val="8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0.94</c:v>
                </c:pt>
                <c:pt idx="4">
                  <c:v>0.94</c:v>
                </c:pt>
                <c:pt idx="5">
                  <c:v>0.94</c:v>
                </c:pt>
                <c:pt idx="6">
                  <c:v>0.94</c:v>
                </c:pt>
                <c:pt idx="7">
                  <c:v>0.94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877756"/>
        <c:axId val="23950789"/>
      </c:lineChart>
      <c:catAx>
        <c:axId val="998777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3950789"/>
        <c:crosses val="autoZero"/>
        <c:auto val="1"/>
        <c:lblAlgn val="ctr"/>
        <c:lblOffset val="100"/>
        <c:noMultiLvlLbl val="0"/>
      </c:catAx>
      <c:valAx>
        <c:axId val="239507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98777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181800</xdr:rowOff>
    </xdr:from>
    <xdr:to>
      <xdr:col>5</xdr:col>
      <xdr:colOff>120600</xdr:colOff>
      <xdr:row>21</xdr:row>
      <xdr:rowOff>33840</xdr:rowOff>
    </xdr:to>
    <xdr:graphicFrame>
      <xdr:nvGraphicFramePr>
        <xdr:cNvPr id="0" name="Chart 1"/>
        <xdr:cNvGraphicFramePr/>
      </xdr:nvGraphicFramePr>
      <xdr:xfrm>
        <a:off x="0" y="2353680"/>
        <a:ext cx="575928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9"/>
    <col collapsed="false" customWidth="true" hidden="false" outlineLevel="0" max="10" min="9" style="1" width="16"/>
    <col collapsed="false" customWidth="true" hidden="false" outlineLevel="0" max="11" min="11" style="1" width="19"/>
    <col collapsed="false" customWidth="true" hidden="false" outlineLevel="0" max="12" min="12" style="1" width="23"/>
    <col collapsed="false" customWidth="true" hidden="false" outlineLevel="0" max="13" min="13" style="1" width="10"/>
    <col collapsed="false" customWidth="true" hidden="false" outlineLevel="0" max="14" min="14" style="1" width="20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true" outlineLevel="0" collapsed="false">
      <c r="A2" s="3" t="n">
        <v>1</v>
      </c>
      <c r="B2" s="4" t="n">
        <v>46178</v>
      </c>
      <c r="C2" s="3" t="s">
        <v>14</v>
      </c>
      <c r="D2" s="3" t="n">
        <v>1080</v>
      </c>
      <c r="E2" s="5" t="n">
        <v>162000000</v>
      </c>
      <c r="F2" s="6" t="n">
        <v>0.95</v>
      </c>
      <c r="G2" s="6" t="n">
        <v>0.032</v>
      </c>
      <c r="H2" s="6" t="n">
        <v>0.038</v>
      </c>
      <c r="I2" s="3" t="n">
        <v>74</v>
      </c>
      <c r="J2" s="3" t="n">
        <v>82</v>
      </c>
      <c r="K2" s="5" t="n">
        <v>27000000</v>
      </c>
      <c r="L2" s="5" t="n">
        <v>30000000</v>
      </c>
      <c r="M2" s="3" t="n">
        <v>89</v>
      </c>
      <c r="N2" s="3" t="n">
        <v>41</v>
      </c>
    </row>
    <row r="3" customFormat="false" ht="15" hidden="false" customHeight="true" outlineLevel="0" collapsed="false">
      <c r="A3" s="3" t="n">
        <v>1</v>
      </c>
      <c r="B3" s="4" t="n">
        <v>46178</v>
      </c>
      <c r="C3" s="3" t="s">
        <v>15</v>
      </c>
      <c r="D3" s="3" t="n">
        <v>1220</v>
      </c>
      <c r="E3" s="5" t="n">
        <v>183000000</v>
      </c>
      <c r="F3" s="6" t="n">
        <v>0.95</v>
      </c>
      <c r="G3" s="6" t="n">
        <v>0.03</v>
      </c>
      <c r="H3" s="6" t="n">
        <v>0.035</v>
      </c>
      <c r="I3" s="3" t="n">
        <v>80</v>
      </c>
      <c r="J3" s="3" t="n">
        <v>88</v>
      </c>
      <c r="K3" s="5" t="n">
        <v>29200000</v>
      </c>
      <c r="L3" s="5" t="n">
        <v>32000000</v>
      </c>
      <c r="M3" s="3" t="n">
        <v>90</v>
      </c>
      <c r="N3" s="3" t="n">
        <v>40</v>
      </c>
    </row>
    <row r="4" customFormat="false" ht="15" hidden="false" customHeight="true" outlineLevel="0" collapsed="false">
      <c r="A4" s="3" t="n">
        <v>1</v>
      </c>
      <c r="B4" s="4" t="n">
        <v>46178</v>
      </c>
      <c r="C4" s="3" t="s">
        <v>16</v>
      </c>
      <c r="D4" s="3" t="n">
        <v>980</v>
      </c>
      <c r="E4" s="5" t="n">
        <v>147000000</v>
      </c>
      <c r="F4" s="6" t="n">
        <v>0.94</v>
      </c>
      <c r="G4" s="6" t="n">
        <v>0.038</v>
      </c>
      <c r="H4" s="6" t="n">
        <v>0.041</v>
      </c>
      <c r="I4" s="3" t="n">
        <v>72</v>
      </c>
      <c r="J4" s="3" t="n">
        <v>80</v>
      </c>
      <c r="K4" s="5" t="n">
        <v>26000000</v>
      </c>
      <c r="L4" s="5" t="n">
        <v>29000000</v>
      </c>
      <c r="M4" s="3" t="n">
        <v>88</v>
      </c>
      <c r="N4" s="3" t="n">
        <v>41</v>
      </c>
    </row>
    <row r="5" customFormat="false" ht="15" hidden="false" customHeight="true" outlineLevel="0" collapsed="false">
      <c r="A5" s="3" t="n">
        <v>1</v>
      </c>
      <c r="B5" s="4" t="n">
        <v>46178</v>
      </c>
      <c r="C5" s="3" t="s">
        <v>17</v>
      </c>
      <c r="D5" s="3" t="n">
        <v>920</v>
      </c>
      <c r="E5" s="5" t="n">
        <v>138000000</v>
      </c>
      <c r="F5" s="6" t="n">
        <v>0.95</v>
      </c>
      <c r="G5" s="6" t="n">
        <v>0.031</v>
      </c>
      <c r="H5" s="6" t="n">
        <v>0.036</v>
      </c>
      <c r="I5" s="3" t="n">
        <v>65</v>
      </c>
      <c r="J5" s="3" t="n">
        <v>70</v>
      </c>
      <c r="K5" s="5" t="n">
        <v>24500000</v>
      </c>
      <c r="L5" s="5" t="n">
        <v>27000000</v>
      </c>
      <c r="M5" s="3" t="n">
        <v>90</v>
      </c>
      <c r="N5" s="3" t="n">
        <v>39</v>
      </c>
    </row>
    <row r="6" customFormat="false" ht="15" hidden="false" customHeight="true" outlineLevel="0" collapsed="false">
      <c r="A6" s="7" t="n">
        <v>2</v>
      </c>
      <c r="B6" s="8" t="n">
        <v>46185</v>
      </c>
      <c r="C6" s="7" t="s">
        <v>14</v>
      </c>
      <c r="D6" s="7" t="n">
        <v>1160</v>
      </c>
      <c r="E6" s="9" t="n">
        <v>174000000</v>
      </c>
      <c r="F6" s="10" t="n">
        <v>0.95</v>
      </c>
      <c r="G6" s="10" t="n">
        <v>0.033</v>
      </c>
      <c r="H6" s="10" t="n">
        <v>0.039</v>
      </c>
      <c r="I6" s="7" t="n">
        <v>78</v>
      </c>
      <c r="J6" s="7" t="n">
        <v>86</v>
      </c>
      <c r="K6" s="9" t="n">
        <v>27600000</v>
      </c>
      <c r="L6" s="9" t="n">
        <v>30000000</v>
      </c>
      <c r="M6" s="7" t="n">
        <v>88</v>
      </c>
      <c r="N6" s="7" t="n">
        <v>42</v>
      </c>
    </row>
    <row r="7" customFormat="false" ht="15" hidden="false" customHeight="true" outlineLevel="0" collapsed="false">
      <c r="A7" s="7" t="n">
        <v>2</v>
      </c>
      <c r="B7" s="8" t="n">
        <v>46185</v>
      </c>
      <c r="C7" s="7" t="s">
        <v>15</v>
      </c>
      <c r="D7" s="7" t="n">
        <v>1300</v>
      </c>
      <c r="E7" s="9" t="n">
        <v>195000000</v>
      </c>
      <c r="F7" s="10" t="n">
        <v>0.95</v>
      </c>
      <c r="G7" s="10" t="n">
        <v>0.031</v>
      </c>
      <c r="H7" s="10" t="n">
        <v>0.036</v>
      </c>
      <c r="I7" s="7" t="n">
        <v>85</v>
      </c>
      <c r="J7" s="7" t="n">
        <v>92</v>
      </c>
      <c r="K7" s="9" t="n">
        <v>30000000</v>
      </c>
      <c r="L7" s="9" t="n">
        <v>32000000</v>
      </c>
      <c r="M7" s="7" t="n">
        <v>89</v>
      </c>
      <c r="N7" s="7" t="n">
        <v>42</v>
      </c>
    </row>
    <row r="8" customFormat="false" ht="15" hidden="false" customHeight="true" outlineLevel="0" collapsed="false">
      <c r="A8" s="7" t="n">
        <v>2</v>
      </c>
      <c r="B8" s="8" t="n">
        <v>46185</v>
      </c>
      <c r="C8" s="7" t="s">
        <v>16</v>
      </c>
      <c r="D8" s="7" t="n">
        <v>1040</v>
      </c>
      <c r="E8" s="9" t="n">
        <v>156000000</v>
      </c>
      <c r="F8" s="10" t="n">
        <v>0.94</v>
      </c>
      <c r="G8" s="10" t="n">
        <v>0.039</v>
      </c>
      <c r="H8" s="10" t="n">
        <v>0.042</v>
      </c>
      <c r="I8" s="7" t="n">
        <v>76</v>
      </c>
      <c r="J8" s="7" t="n">
        <v>84</v>
      </c>
      <c r="K8" s="9" t="n">
        <v>26700000</v>
      </c>
      <c r="L8" s="9" t="n">
        <v>29000000</v>
      </c>
      <c r="M8" s="7" t="n">
        <v>87</v>
      </c>
      <c r="N8" s="7" t="n">
        <v>42</v>
      </c>
    </row>
    <row r="9" customFormat="false" ht="15" hidden="false" customHeight="true" outlineLevel="0" collapsed="false">
      <c r="A9" s="7" t="n">
        <v>2</v>
      </c>
      <c r="B9" s="8" t="n">
        <v>46185</v>
      </c>
      <c r="C9" s="7" t="s">
        <v>17</v>
      </c>
      <c r="D9" s="7" t="n">
        <v>1000</v>
      </c>
      <c r="E9" s="9" t="n">
        <v>150000000</v>
      </c>
      <c r="F9" s="10" t="n">
        <v>0.95</v>
      </c>
      <c r="G9" s="10" t="n">
        <v>0.032</v>
      </c>
      <c r="H9" s="10" t="n">
        <v>0.037</v>
      </c>
      <c r="I9" s="7" t="n">
        <v>68</v>
      </c>
      <c r="J9" s="7" t="n">
        <v>72</v>
      </c>
      <c r="K9" s="9" t="n">
        <v>25000000</v>
      </c>
      <c r="L9" s="9" t="n">
        <v>27000000</v>
      </c>
      <c r="M9" s="7" t="n">
        <v>89</v>
      </c>
      <c r="N9" s="7" t="n">
        <v>40</v>
      </c>
    </row>
    <row r="10" customFormat="false" ht="15" hidden="false" customHeight="true" outlineLevel="0" collapsed="false">
      <c r="A10" s="3" t="n">
        <v>3</v>
      </c>
      <c r="B10" s="4" t="n">
        <v>46192</v>
      </c>
      <c r="C10" s="3" t="s">
        <v>14</v>
      </c>
      <c r="D10" s="3" t="n">
        <v>1210</v>
      </c>
      <c r="E10" s="5" t="n">
        <v>181500000</v>
      </c>
      <c r="F10" s="6" t="n">
        <v>0.94</v>
      </c>
      <c r="G10" s="6" t="n">
        <v>0.035</v>
      </c>
      <c r="H10" s="6" t="n">
        <v>0.041</v>
      </c>
      <c r="I10" s="3" t="n">
        <v>86</v>
      </c>
      <c r="J10" s="3" t="n">
        <v>98</v>
      </c>
      <c r="K10" s="5" t="n">
        <v>28600000</v>
      </c>
      <c r="L10" s="5" t="n">
        <v>30000000</v>
      </c>
      <c r="M10" s="3" t="n">
        <v>87</v>
      </c>
      <c r="N10" s="3" t="n">
        <v>44</v>
      </c>
    </row>
    <row r="11" customFormat="false" ht="15" hidden="false" customHeight="true" outlineLevel="0" collapsed="false">
      <c r="A11" s="3" t="n">
        <v>3</v>
      </c>
      <c r="B11" s="4" t="n">
        <v>46192</v>
      </c>
      <c r="C11" s="3" t="s">
        <v>15</v>
      </c>
      <c r="D11" s="3" t="n">
        <v>1390</v>
      </c>
      <c r="E11" s="5" t="n">
        <v>208500000</v>
      </c>
      <c r="F11" s="6" t="n">
        <v>0.94</v>
      </c>
      <c r="G11" s="6" t="n">
        <v>0.032</v>
      </c>
      <c r="H11" s="6" t="n">
        <v>0.038</v>
      </c>
      <c r="I11" s="3" t="n">
        <v>96</v>
      </c>
      <c r="J11" s="3" t="n">
        <v>106</v>
      </c>
      <c r="K11" s="5" t="n">
        <v>31200000</v>
      </c>
      <c r="L11" s="5" t="n">
        <v>32000000</v>
      </c>
      <c r="M11" s="3" t="n">
        <v>88</v>
      </c>
      <c r="N11" s="3" t="n">
        <v>45</v>
      </c>
    </row>
    <row r="12" customFormat="false" ht="15" hidden="false" customHeight="true" outlineLevel="0" collapsed="false">
      <c r="A12" s="3" t="n">
        <v>3</v>
      </c>
      <c r="B12" s="4" t="n">
        <v>46192</v>
      </c>
      <c r="C12" s="3" t="s">
        <v>16</v>
      </c>
      <c r="D12" s="3" t="n">
        <v>1110</v>
      </c>
      <c r="E12" s="5" t="n">
        <v>166500000</v>
      </c>
      <c r="F12" s="6" t="n">
        <v>0.93</v>
      </c>
      <c r="G12" s="6" t="n">
        <v>0.041</v>
      </c>
      <c r="H12" s="6" t="n">
        <v>0.044</v>
      </c>
      <c r="I12" s="3" t="n">
        <v>88</v>
      </c>
      <c r="J12" s="3" t="n">
        <v>96</v>
      </c>
      <c r="K12" s="5" t="n">
        <v>27800000</v>
      </c>
      <c r="L12" s="5" t="n">
        <v>29000000</v>
      </c>
      <c r="M12" s="3" t="n">
        <v>86</v>
      </c>
      <c r="N12" s="3" t="n">
        <v>44</v>
      </c>
    </row>
    <row r="13" customFormat="false" ht="15" hidden="false" customHeight="true" outlineLevel="0" collapsed="false">
      <c r="A13" s="3" t="n">
        <v>3</v>
      </c>
      <c r="B13" s="4" t="n">
        <v>46192</v>
      </c>
      <c r="C13" s="3" t="s">
        <v>17</v>
      </c>
      <c r="D13" s="3" t="n">
        <v>1040</v>
      </c>
      <c r="E13" s="5" t="n">
        <v>156000000</v>
      </c>
      <c r="F13" s="6" t="n">
        <v>0.95</v>
      </c>
      <c r="G13" s="6" t="n">
        <v>0.032</v>
      </c>
      <c r="H13" s="6" t="n">
        <v>0.037</v>
      </c>
      <c r="I13" s="3" t="n">
        <v>72</v>
      </c>
      <c r="J13" s="3" t="n">
        <v>76</v>
      </c>
      <c r="K13" s="5" t="n">
        <v>25600000</v>
      </c>
      <c r="L13" s="5" t="n">
        <v>27000000</v>
      </c>
      <c r="M13" s="3" t="n">
        <v>89</v>
      </c>
      <c r="N13" s="3" t="n">
        <v>41</v>
      </c>
    </row>
    <row r="14" customFormat="false" ht="15" hidden="false" customHeight="true" outlineLevel="0" collapsed="false">
      <c r="A14" s="7" t="n">
        <v>4</v>
      </c>
      <c r="B14" s="8" t="n">
        <v>46199</v>
      </c>
      <c r="C14" s="7" t="s">
        <v>14</v>
      </c>
      <c r="D14" s="7" t="n">
        <v>1270</v>
      </c>
      <c r="E14" s="9" t="n">
        <v>190500000</v>
      </c>
      <c r="F14" s="10" t="n">
        <v>0.92</v>
      </c>
      <c r="G14" s="10" t="n">
        <v>0.038</v>
      </c>
      <c r="H14" s="10" t="n">
        <v>0.045</v>
      </c>
      <c r="I14" s="7" t="n">
        <v>104</v>
      </c>
      <c r="J14" s="7" t="n">
        <v>126</v>
      </c>
      <c r="K14" s="9" t="n">
        <v>30500000</v>
      </c>
      <c r="L14" s="9" t="n">
        <v>30000000</v>
      </c>
      <c r="M14" s="7" t="n">
        <v>84</v>
      </c>
      <c r="N14" s="7" t="n">
        <v>48</v>
      </c>
    </row>
    <row r="15" customFormat="false" ht="15" hidden="false" customHeight="true" outlineLevel="0" collapsed="false">
      <c r="A15" s="7" t="n">
        <v>4</v>
      </c>
      <c r="B15" s="8" t="n">
        <v>46199</v>
      </c>
      <c r="C15" s="7" t="s">
        <v>15</v>
      </c>
      <c r="D15" s="7" t="n">
        <v>1510</v>
      </c>
      <c r="E15" s="9" t="n">
        <v>226500000</v>
      </c>
      <c r="F15" s="10" t="n">
        <v>0.94</v>
      </c>
      <c r="G15" s="10" t="n">
        <v>0.034</v>
      </c>
      <c r="H15" s="10" t="n">
        <v>0.041</v>
      </c>
      <c r="I15" s="7" t="n">
        <v>112</v>
      </c>
      <c r="J15" s="7" t="n">
        <v>122</v>
      </c>
      <c r="K15" s="9" t="n">
        <v>32500000</v>
      </c>
      <c r="L15" s="9" t="n">
        <v>32000000</v>
      </c>
      <c r="M15" s="7" t="n">
        <v>86</v>
      </c>
      <c r="N15" s="7" t="n">
        <v>49</v>
      </c>
    </row>
    <row r="16" customFormat="false" ht="15" hidden="false" customHeight="true" outlineLevel="0" collapsed="false">
      <c r="A16" s="7" t="n">
        <v>4</v>
      </c>
      <c r="B16" s="8" t="n">
        <v>46199</v>
      </c>
      <c r="C16" s="7" t="s">
        <v>16</v>
      </c>
      <c r="D16" s="7" t="n">
        <v>1190</v>
      </c>
      <c r="E16" s="9" t="n">
        <v>178500000</v>
      </c>
      <c r="F16" s="10" t="n">
        <v>0.92</v>
      </c>
      <c r="G16" s="10" t="n">
        <v>0.046</v>
      </c>
      <c r="H16" s="10" t="n">
        <v>0.052</v>
      </c>
      <c r="I16" s="7" t="n">
        <v>110</v>
      </c>
      <c r="J16" s="7" t="n">
        <v>118</v>
      </c>
      <c r="K16" s="9" t="n">
        <v>29200000</v>
      </c>
      <c r="L16" s="9" t="n">
        <v>29000000</v>
      </c>
      <c r="M16" s="7" t="n">
        <v>83</v>
      </c>
      <c r="N16" s="7" t="n">
        <v>48</v>
      </c>
    </row>
    <row r="17" customFormat="false" ht="15" hidden="false" customHeight="true" outlineLevel="0" collapsed="false">
      <c r="A17" s="7" t="n">
        <v>4</v>
      </c>
      <c r="B17" s="8" t="n">
        <v>46199</v>
      </c>
      <c r="C17" s="7" t="s">
        <v>17</v>
      </c>
      <c r="D17" s="7" t="n">
        <v>1100</v>
      </c>
      <c r="E17" s="9" t="n">
        <v>165000000</v>
      </c>
      <c r="F17" s="10" t="n">
        <v>0.94</v>
      </c>
      <c r="G17" s="10" t="n">
        <v>0.033</v>
      </c>
      <c r="H17" s="10" t="n">
        <v>0.039</v>
      </c>
      <c r="I17" s="7" t="n">
        <v>76</v>
      </c>
      <c r="J17" s="7" t="n">
        <v>82</v>
      </c>
      <c r="K17" s="9" t="n">
        <v>26200000</v>
      </c>
      <c r="L17" s="9" t="n">
        <v>27000000</v>
      </c>
      <c r="M17" s="7" t="n">
        <v>88</v>
      </c>
      <c r="N17" s="7" t="n">
        <v>42</v>
      </c>
    </row>
    <row r="18" customFormat="false" ht="15" hidden="false" customHeight="true" outlineLevel="0" collapsed="false">
      <c r="A18" s="3" t="n">
        <v>5</v>
      </c>
      <c r="B18" s="4" t="n">
        <v>46206</v>
      </c>
      <c r="C18" s="3" t="s">
        <v>14</v>
      </c>
      <c r="D18" s="3" t="n">
        <v>1300</v>
      </c>
      <c r="E18" s="5" t="n">
        <v>195000000</v>
      </c>
      <c r="F18" s="6" t="n">
        <v>0.88</v>
      </c>
      <c r="G18" s="6" t="n">
        <v>0.043</v>
      </c>
      <c r="H18" s="6" t="n">
        <v>0.052</v>
      </c>
      <c r="I18" s="3" t="n">
        <v>132</v>
      </c>
      <c r="J18" s="3" t="n">
        <v>185</v>
      </c>
      <c r="K18" s="5" t="n">
        <v>33600000</v>
      </c>
      <c r="L18" s="5" t="n">
        <v>30000000</v>
      </c>
      <c r="M18" s="3" t="n">
        <v>80</v>
      </c>
      <c r="N18" s="3" t="n">
        <v>53</v>
      </c>
    </row>
    <row r="19" customFormat="false" ht="15" hidden="false" customHeight="true" outlineLevel="0" collapsed="false">
      <c r="A19" s="3" t="n">
        <v>5</v>
      </c>
      <c r="B19" s="4" t="n">
        <v>46206</v>
      </c>
      <c r="C19" s="3" t="s">
        <v>15</v>
      </c>
      <c r="D19" s="3" t="n">
        <v>1630</v>
      </c>
      <c r="E19" s="5" t="n">
        <v>244500000</v>
      </c>
      <c r="F19" s="6" t="n">
        <v>0.93</v>
      </c>
      <c r="G19" s="6" t="n">
        <v>0.036</v>
      </c>
      <c r="H19" s="6" t="n">
        <v>0.044</v>
      </c>
      <c r="I19" s="3" t="n">
        <v>134</v>
      </c>
      <c r="J19" s="3" t="n">
        <v>142</v>
      </c>
      <c r="K19" s="5" t="n">
        <v>34200000</v>
      </c>
      <c r="L19" s="5" t="n">
        <v>34000000</v>
      </c>
      <c r="M19" s="3" t="n">
        <v>84</v>
      </c>
      <c r="N19" s="3" t="n">
        <v>53</v>
      </c>
    </row>
    <row r="20" customFormat="false" ht="15" hidden="false" customHeight="true" outlineLevel="0" collapsed="false">
      <c r="A20" s="3" t="n">
        <v>5</v>
      </c>
      <c r="B20" s="4" t="n">
        <v>46206</v>
      </c>
      <c r="C20" s="3" t="s">
        <v>16</v>
      </c>
      <c r="D20" s="3" t="n">
        <v>1260</v>
      </c>
      <c r="E20" s="5" t="n">
        <v>189000000</v>
      </c>
      <c r="F20" s="6" t="n">
        <v>0.9</v>
      </c>
      <c r="G20" s="6" t="n">
        <v>0.054</v>
      </c>
      <c r="H20" s="6" t="n">
        <v>0.067</v>
      </c>
      <c r="I20" s="3" t="n">
        <v>154</v>
      </c>
      <c r="J20" s="3" t="n">
        <v>145</v>
      </c>
      <c r="K20" s="5" t="n">
        <v>30600000</v>
      </c>
      <c r="L20" s="5" t="n">
        <v>29000000</v>
      </c>
      <c r="M20" s="3" t="n">
        <v>78</v>
      </c>
      <c r="N20" s="3" t="n">
        <v>52</v>
      </c>
    </row>
    <row r="21" customFormat="false" ht="15" hidden="false" customHeight="true" outlineLevel="0" collapsed="false">
      <c r="A21" s="3" t="n">
        <v>5</v>
      </c>
      <c r="B21" s="4" t="n">
        <v>46206</v>
      </c>
      <c r="C21" s="3" t="s">
        <v>17</v>
      </c>
      <c r="D21" s="3" t="n">
        <v>1160</v>
      </c>
      <c r="E21" s="5" t="n">
        <v>174000000</v>
      </c>
      <c r="F21" s="6" t="n">
        <v>0.94</v>
      </c>
      <c r="G21" s="6" t="n">
        <v>0.034</v>
      </c>
      <c r="H21" s="6" t="n">
        <v>0.04</v>
      </c>
      <c r="I21" s="3" t="n">
        <v>79</v>
      </c>
      <c r="J21" s="3" t="n">
        <v>84</v>
      </c>
      <c r="K21" s="5" t="n">
        <v>26700000</v>
      </c>
      <c r="L21" s="5" t="n">
        <v>27000000</v>
      </c>
      <c r="M21" s="3" t="n">
        <v>88</v>
      </c>
      <c r="N21" s="3" t="n">
        <v>44</v>
      </c>
    </row>
    <row r="22" customFormat="false" ht="15" hidden="false" customHeight="true" outlineLevel="0" collapsed="false">
      <c r="A22" s="7" t="n">
        <v>6</v>
      </c>
      <c r="B22" s="8" t="n">
        <v>46213</v>
      </c>
      <c r="C22" s="7" t="s">
        <v>14</v>
      </c>
      <c r="D22" s="7" t="n">
        <v>1280</v>
      </c>
      <c r="E22" s="9" t="n">
        <v>192000000</v>
      </c>
      <c r="F22" s="10" t="n">
        <v>0.82</v>
      </c>
      <c r="G22" s="10" t="n">
        <v>0.047</v>
      </c>
      <c r="H22" s="10" t="n">
        <v>0.058</v>
      </c>
      <c r="I22" s="7" t="n">
        <v>170</v>
      </c>
      <c r="J22" s="7" t="n">
        <v>330</v>
      </c>
      <c r="K22" s="9" t="n">
        <v>38200000</v>
      </c>
      <c r="L22" s="9" t="n">
        <v>30000000</v>
      </c>
      <c r="M22" s="7" t="n">
        <v>73</v>
      </c>
      <c r="N22" s="7" t="n">
        <v>58</v>
      </c>
    </row>
    <row r="23" customFormat="false" ht="15" hidden="false" customHeight="true" outlineLevel="0" collapsed="false">
      <c r="A23" s="7" t="n">
        <v>6</v>
      </c>
      <c r="B23" s="8" t="n">
        <v>46213</v>
      </c>
      <c r="C23" s="7" t="s">
        <v>15</v>
      </c>
      <c r="D23" s="7" t="n">
        <v>1720</v>
      </c>
      <c r="E23" s="9" t="n">
        <v>258000000</v>
      </c>
      <c r="F23" s="10" t="n">
        <v>0.92</v>
      </c>
      <c r="G23" s="10" t="n">
        <v>0.038</v>
      </c>
      <c r="H23" s="10" t="n">
        <v>0.046</v>
      </c>
      <c r="I23" s="7" t="n">
        <v>158</v>
      </c>
      <c r="J23" s="7" t="n">
        <v>168</v>
      </c>
      <c r="K23" s="9" t="n">
        <v>35800000</v>
      </c>
      <c r="L23" s="9" t="n">
        <v>34000000</v>
      </c>
      <c r="M23" s="7" t="n">
        <v>82</v>
      </c>
      <c r="N23" s="7" t="n">
        <v>56</v>
      </c>
    </row>
    <row r="24" customFormat="false" ht="15" hidden="false" customHeight="true" outlineLevel="0" collapsed="false">
      <c r="A24" s="7" t="n">
        <v>6</v>
      </c>
      <c r="B24" s="8" t="n">
        <v>46213</v>
      </c>
      <c r="C24" s="7" t="s">
        <v>16</v>
      </c>
      <c r="D24" s="7" t="n">
        <v>1320</v>
      </c>
      <c r="E24" s="9" t="n">
        <v>198000000</v>
      </c>
      <c r="F24" s="10" t="n">
        <v>0.89</v>
      </c>
      <c r="G24" s="10" t="n">
        <v>0.06</v>
      </c>
      <c r="H24" s="10" t="n">
        <v>0.082</v>
      </c>
      <c r="I24" s="7" t="n">
        <v>205</v>
      </c>
      <c r="J24" s="7" t="n">
        <v>175</v>
      </c>
      <c r="K24" s="9" t="n">
        <v>32200000</v>
      </c>
      <c r="L24" s="9" t="n">
        <v>29000000</v>
      </c>
      <c r="M24" s="7" t="n">
        <v>71</v>
      </c>
      <c r="N24" s="7" t="n">
        <v>56</v>
      </c>
    </row>
    <row r="25" customFormat="false" ht="15" hidden="false" customHeight="true" outlineLevel="0" collapsed="false">
      <c r="A25" s="7" t="n">
        <v>6</v>
      </c>
      <c r="B25" s="8" t="n">
        <v>46213</v>
      </c>
      <c r="C25" s="7" t="s">
        <v>17</v>
      </c>
      <c r="D25" s="7" t="n">
        <v>1210</v>
      </c>
      <c r="E25" s="9" t="n">
        <v>181500000</v>
      </c>
      <c r="F25" s="10" t="n">
        <v>0.94</v>
      </c>
      <c r="G25" s="10" t="n">
        <v>0.035</v>
      </c>
      <c r="H25" s="10" t="n">
        <v>0.041</v>
      </c>
      <c r="I25" s="7" t="n">
        <v>82</v>
      </c>
      <c r="J25" s="7" t="n">
        <v>88</v>
      </c>
      <c r="K25" s="9" t="n">
        <v>27100000</v>
      </c>
      <c r="L25" s="9" t="n">
        <v>27500000</v>
      </c>
      <c r="M25" s="7" t="n">
        <v>87</v>
      </c>
      <c r="N25" s="7" t="n">
        <v>45</v>
      </c>
    </row>
    <row r="26" customFormat="false" ht="15" hidden="false" customHeight="true" outlineLevel="0" collapsed="false">
      <c r="A26" s="3" t="n">
        <v>7</v>
      </c>
      <c r="B26" s="4" t="n">
        <v>46220</v>
      </c>
      <c r="C26" s="3" t="s">
        <v>14</v>
      </c>
      <c r="D26" s="3" t="n">
        <v>1300</v>
      </c>
      <c r="E26" s="5" t="n">
        <v>195000000</v>
      </c>
      <c r="F26" s="6" t="n">
        <v>0.83</v>
      </c>
      <c r="G26" s="6" t="n">
        <v>0.046</v>
      </c>
      <c r="H26" s="6" t="n">
        <v>0.056</v>
      </c>
      <c r="I26" s="3" t="n">
        <v>162</v>
      </c>
      <c r="J26" s="3" t="n">
        <v>320</v>
      </c>
      <c r="K26" s="5" t="n">
        <v>37400000</v>
      </c>
      <c r="L26" s="5" t="n">
        <v>30000000</v>
      </c>
      <c r="M26" s="3" t="n">
        <v>74</v>
      </c>
      <c r="N26" s="3" t="n">
        <v>59</v>
      </c>
    </row>
    <row r="27" customFormat="false" ht="15" hidden="false" customHeight="true" outlineLevel="0" collapsed="false">
      <c r="A27" s="3" t="n">
        <v>7</v>
      </c>
      <c r="B27" s="4" t="n">
        <v>46220</v>
      </c>
      <c r="C27" s="3" t="s">
        <v>15</v>
      </c>
      <c r="D27" s="3" t="n">
        <v>1790</v>
      </c>
      <c r="E27" s="5" t="n">
        <v>268500000</v>
      </c>
      <c r="F27" s="6" t="n">
        <v>0.92</v>
      </c>
      <c r="G27" s="6" t="n">
        <v>0.039</v>
      </c>
      <c r="H27" s="6" t="n">
        <v>0.047</v>
      </c>
      <c r="I27" s="3" t="n">
        <v>164</v>
      </c>
      <c r="J27" s="3" t="n">
        <v>172</v>
      </c>
      <c r="K27" s="5" t="n">
        <v>36100000</v>
      </c>
      <c r="L27" s="5" t="n">
        <v>34000000</v>
      </c>
      <c r="M27" s="3" t="n">
        <v>82</v>
      </c>
      <c r="N27" s="3" t="n">
        <v>57</v>
      </c>
    </row>
    <row r="28" customFormat="false" ht="15" hidden="false" customHeight="true" outlineLevel="0" collapsed="false">
      <c r="A28" s="3" t="n">
        <v>7</v>
      </c>
      <c r="B28" s="4" t="n">
        <v>46220</v>
      </c>
      <c r="C28" s="3" t="s">
        <v>16</v>
      </c>
      <c r="D28" s="3" t="n">
        <v>1380</v>
      </c>
      <c r="E28" s="5" t="n">
        <v>207000000</v>
      </c>
      <c r="F28" s="6" t="n">
        <v>0.9</v>
      </c>
      <c r="G28" s="6" t="n">
        <v>0.058</v>
      </c>
      <c r="H28" s="6" t="n">
        <v>0.08</v>
      </c>
      <c r="I28" s="3" t="n">
        <v>198</v>
      </c>
      <c r="J28" s="3" t="n">
        <v>166</v>
      </c>
      <c r="K28" s="5" t="n">
        <v>31700000</v>
      </c>
      <c r="L28" s="5" t="n">
        <v>29000000</v>
      </c>
      <c r="M28" s="3" t="n">
        <v>73</v>
      </c>
      <c r="N28" s="3" t="n">
        <v>55</v>
      </c>
    </row>
    <row r="29" customFormat="false" ht="15" hidden="false" customHeight="true" outlineLevel="0" collapsed="false">
      <c r="A29" s="3" t="n">
        <v>7</v>
      </c>
      <c r="B29" s="4" t="n">
        <v>46220</v>
      </c>
      <c r="C29" s="3" t="s">
        <v>17</v>
      </c>
      <c r="D29" s="3" t="n">
        <v>1270</v>
      </c>
      <c r="E29" s="5" t="n">
        <v>190500000</v>
      </c>
      <c r="F29" s="6" t="n">
        <v>0.94</v>
      </c>
      <c r="G29" s="6" t="n">
        <v>0.035</v>
      </c>
      <c r="H29" s="6" t="n">
        <v>0.041</v>
      </c>
      <c r="I29" s="3" t="n">
        <v>84</v>
      </c>
      <c r="J29" s="3" t="n">
        <v>86</v>
      </c>
      <c r="K29" s="5" t="n">
        <v>27300000</v>
      </c>
      <c r="L29" s="5" t="n">
        <v>27500000</v>
      </c>
      <c r="M29" s="3" t="n">
        <v>87</v>
      </c>
      <c r="N29" s="3" t="n">
        <v>46</v>
      </c>
    </row>
    <row r="30" customFormat="false" ht="15" hidden="false" customHeight="true" outlineLevel="0" collapsed="false">
      <c r="A30" s="7" t="n">
        <v>8</v>
      </c>
      <c r="B30" s="8" t="n">
        <v>46227</v>
      </c>
      <c r="C30" s="7" t="s">
        <v>14</v>
      </c>
      <c r="D30" s="7" t="n">
        <v>1320</v>
      </c>
      <c r="E30" s="9" t="n">
        <v>198000000</v>
      </c>
      <c r="F30" s="10" t="n">
        <v>0.85</v>
      </c>
      <c r="G30" s="10" t="n">
        <v>0.044</v>
      </c>
      <c r="H30" s="10" t="n">
        <v>0.053</v>
      </c>
      <c r="I30" s="7" t="n">
        <v>148</v>
      </c>
      <c r="J30" s="7" t="n">
        <v>280</v>
      </c>
      <c r="K30" s="9" t="n">
        <v>35600000</v>
      </c>
      <c r="L30" s="9" t="n">
        <v>30000000</v>
      </c>
      <c r="M30" s="7" t="n">
        <v>77</v>
      </c>
      <c r="N30" s="7" t="n">
        <v>57</v>
      </c>
    </row>
    <row r="31" customFormat="false" ht="15" hidden="false" customHeight="true" outlineLevel="0" collapsed="false">
      <c r="A31" s="7" t="n">
        <v>8</v>
      </c>
      <c r="B31" s="8" t="n">
        <v>46227</v>
      </c>
      <c r="C31" s="7" t="s">
        <v>15</v>
      </c>
      <c r="D31" s="7" t="n">
        <v>1830</v>
      </c>
      <c r="E31" s="9" t="n">
        <v>274500000</v>
      </c>
      <c r="F31" s="10" t="n">
        <v>0.92</v>
      </c>
      <c r="G31" s="10" t="n">
        <v>0.04</v>
      </c>
      <c r="H31" s="10" t="n">
        <v>0.048</v>
      </c>
      <c r="I31" s="7" t="n">
        <v>170</v>
      </c>
      <c r="J31" s="7" t="n">
        <v>165</v>
      </c>
      <c r="K31" s="9" t="n">
        <v>35200000</v>
      </c>
      <c r="L31" s="9" t="n">
        <v>34000000</v>
      </c>
      <c r="M31" s="7" t="n">
        <v>83</v>
      </c>
      <c r="N31" s="7" t="n">
        <v>57</v>
      </c>
    </row>
    <row r="32" customFormat="false" ht="15" hidden="false" customHeight="true" outlineLevel="0" collapsed="false">
      <c r="A32" s="7" t="n">
        <v>8</v>
      </c>
      <c r="B32" s="8" t="n">
        <v>46227</v>
      </c>
      <c r="C32" s="7" t="s">
        <v>16</v>
      </c>
      <c r="D32" s="7" t="n">
        <v>1430</v>
      </c>
      <c r="E32" s="9" t="n">
        <v>214500000</v>
      </c>
      <c r="F32" s="10" t="n">
        <v>0.91</v>
      </c>
      <c r="G32" s="10" t="n">
        <v>0.055</v>
      </c>
      <c r="H32" s="10" t="n">
        <v>0.078</v>
      </c>
      <c r="I32" s="7" t="n">
        <v>182</v>
      </c>
      <c r="J32" s="7" t="n">
        <v>150</v>
      </c>
      <c r="K32" s="9" t="n">
        <v>30500000</v>
      </c>
      <c r="L32" s="9" t="n">
        <v>29000000</v>
      </c>
      <c r="M32" s="7" t="n">
        <v>75</v>
      </c>
      <c r="N32" s="7" t="n">
        <v>54</v>
      </c>
    </row>
    <row r="33" customFormat="false" ht="15" hidden="false" customHeight="true" outlineLevel="0" collapsed="false">
      <c r="A33" s="7" t="n">
        <v>8</v>
      </c>
      <c r="B33" s="8" t="n">
        <v>46227</v>
      </c>
      <c r="C33" s="7" t="s">
        <v>17</v>
      </c>
      <c r="D33" s="7" t="n">
        <v>1315</v>
      </c>
      <c r="E33" s="9" t="n">
        <v>197250000</v>
      </c>
      <c r="F33" s="10" t="n">
        <v>0.94</v>
      </c>
      <c r="G33" s="10" t="n">
        <v>0.034</v>
      </c>
      <c r="H33" s="10" t="n">
        <v>0.04</v>
      </c>
      <c r="I33" s="7" t="n">
        <v>86</v>
      </c>
      <c r="J33" s="7" t="n">
        <v>85</v>
      </c>
      <c r="K33" s="9" t="n">
        <v>27400000</v>
      </c>
      <c r="L33" s="9" t="n">
        <v>27500000</v>
      </c>
      <c r="M33" s="7" t="n">
        <v>88</v>
      </c>
      <c r="N33" s="7" t="n">
        <v>46</v>
      </c>
    </row>
  </sheetData>
  <autoFilter ref="A1:N33"/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4"/>
  </cols>
  <sheetData>
    <row r="1" customFormat="false" ht="15" hidden="false" customHeight="true" outlineLevel="0" collapsed="false">
      <c r="A1" s="2" t="s">
        <v>18</v>
      </c>
      <c r="B1" s="2" t="s">
        <v>19</v>
      </c>
      <c r="C1" s="2" t="s">
        <v>20</v>
      </c>
      <c r="D1" s="2" t="s">
        <v>21</v>
      </c>
    </row>
    <row r="2" customFormat="false" ht="15" hidden="false" customHeight="true" outlineLevel="0" collapsed="false">
      <c r="A2" s="3" t="s">
        <v>5</v>
      </c>
      <c r="B2" s="3" t="n">
        <v>0.93</v>
      </c>
      <c r="C2" s="3" t="s">
        <v>22</v>
      </c>
      <c r="D2" s="3" t="s">
        <v>23</v>
      </c>
    </row>
    <row r="3" customFormat="false" ht="15" hidden="false" customHeight="true" outlineLevel="0" collapsed="false">
      <c r="A3" s="3" t="s">
        <v>6</v>
      </c>
      <c r="B3" s="3" t="n">
        <v>0.045</v>
      </c>
      <c r="C3" s="3" t="s">
        <v>24</v>
      </c>
      <c r="D3" s="3" t="s">
        <v>23</v>
      </c>
    </row>
    <row r="4" customFormat="false" ht="15" hidden="false" customHeight="true" outlineLevel="0" collapsed="false">
      <c r="A4" s="3" t="s">
        <v>7</v>
      </c>
      <c r="B4" s="3" t="n">
        <v>0.05</v>
      </c>
      <c r="C4" s="3" t="s">
        <v>24</v>
      </c>
      <c r="D4" s="3" t="s">
        <v>23</v>
      </c>
    </row>
    <row r="5" customFormat="false" ht="15" hidden="false" customHeight="true" outlineLevel="0" collapsed="false">
      <c r="A5" s="3" t="s">
        <v>9</v>
      </c>
      <c r="B5" s="3" t="n">
        <v>120</v>
      </c>
      <c r="C5" s="3" t="s">
        <v>24</v>
      </c>
      <c r="D5" s="3" t="s">
        <v>3</v>
      </c>
    </row>
    <row r="6" customFormat="false" ht="15" hidden="false" customHeight="true" outlineLevel="0" collapsed="false">
      <c r="A6" s="3" t="s">
        <v>12</v>
      </c>
      <c r="B6" s="3" t="n">
        <v>85</v>
      </c>
      <c r="C6" s="3" t="s">
        <v>22</v>
      </c>
      <c r="D6" s="3" t="s">
        <v>25</v>
      </c>
    </row>
    <row r="7" customFormat="false" ht="15" hidden="false" customHeight="true" outlineLevel="0" collapsed="false">
      <c r="A7" s="3" t="s">
        <v>13</v>
      </c>
      <c r="B7" s="3" t="n">
        <v>50</v>
      </c>
      <c r="C7" s="3" t="s">
        <v>24</v>
      </c>
      <c r="D7" s="3" t="s">
        <v>26</v>
      </c>
    </row>
    <row r="8" customFormat="false" ht="27.75" hidden="false" customHeight="true" outlineLevel="0" collapsed="false">
      <c r="A8" s="3" t="s">
        <v>10</v>
      </c>
      <c r="B8" s="3" t="s">
        <v>11</v>
      </c>
      <c r="C8" s="3" t="s">
        <v>24</v>
      </c>
      <c r="D8" s="3" t="s">
        <v>27</v>
      </c>
    </row>
  </sheetData>
  <autoFilter ref="A1:D8"/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55"/>
  </cols>
  <sheetData>
    <row r="1" customFormat="false" ht="15" hidden="false" customHeight="true" outlineLevel="0" collapsed="false">
      <c r="A1" s="2" t="s">
        <v>18</v>
      </c>
      <c r="B1" s="2" t="s">
        <v>28</v>
      </c>
      <c r="C1" s="2" t="s">
        <v>21</v>
      </c>
      <c r="D1" s="2" t="s">
        <v>29</v>
      </c>
    </row>
    <row r="2" customFormat="false" ht="15" hidden="false" customHeight="true" outlineLevel="0" collapsed="false">
      <c r="A2" s="3" t="s">
        <v>30</v>
      </c>
      <c r="B2" s="3" t="n">
        <v>18460</v>
      </c>
      <c r="C2" s="3" t="s">
        <v>3</v>
      </c>
      <c r="D2" s="3" t="s">
        <v>31</v>
      </c>
    </row>
    <row r="3" customFormat="false" ht="15" hidden="false" customHeight="true" outlineLevel="0" collapsed="false">
      <c r="A3" s="3" t="s">
        <v>32</v>
      </c>
      <c r="B3" s="3" t="n">
        <v>63</v>
      </c>
      <c r="C3" s="3" t="s">
        <v>33</v>
      </c>
      <c r="D3" s="3" t="s">
        <v>34</v>
      </c>
    </row>
    <row r="4" customFormat="false" ht="15" hidden="false" customHeight="true" outlineLevel="0" collapsed="false">
      <c r="A4" s="3" t="s">
        <v>35</v>
      </c>
      <c r="B4" s="3" t="n">
        <v>27</v>
      </c>
      <c r="C4" s="3" t="s">
        <v>33</v>
      </c>
      <c r="D4" s="3" t="s">
        <v>36</v>
      </c>
    </row>
    <row r="5" customFormat="false" ht="15" hidden="false" customHeight="true" outlineLevel="0" collapsed="false">
      <c r="A5" s="3" t="s">
        <v>37</v>
      </c>
      <c r="B5" s="3" t="n">
        <v>5</v>
      </c>
      <c r="C5" s="3" t="s">
        <v>26</v>
      </c>
      <c r="D5" s="3" t="s">
        <v>38</v>
      </c>
    </row>
    <row r="6" customFormat="false" ht="15" hidden="false" customHeight="true" outlineLevel="0" collapsed="false">
      <c r="A6" s="3" t="s">
        <v>39</v>
      </c>
      <c r="B6" s="3" t="s">
        <v>40</v>
      </c>
      <c r="C6" s="3" t="s">
        <v>41</v>
      </c>
      <c r="D6" s="3" t="s">
        <v>42</v>
      </c>
    </row>
  </sheetData>
  <autoFilter ref="A1:D6"/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58"/>
  </cols>
  <sheetData>
    <row r="1" customFormat="false" ht="15" hidden="false" customHeight="true" outlineLevel="0" collapsed="false">
      <c r="A1" s="2" t="s">
        <v>43</v>
      </c>
      <c r="B1" s="2" t="s">
        <v>44</v>
      </c>
      <c r="C1" s="2" t="s">
        <v>45</v>
      </c>
      <c r="D1" s="2" t="s">
        <v>46</v>
      </c>
    </row>
    <row r="2" customFormat="false" ht="15" hidden="false" customHeight="true" outlineLevel="0" collapsed="false">
      <c r="A2" s="3" t="s">
        <v>47</v>
      </c>
      <c r="B2" s="5" t="n">
        <v>27500000</v>
      </c>
      <c r="C2" s="3" t="s">
        <v>48</v>
      </c>
      <c r="D2" s="3" t="s">
        <v>49</v>
      </c>
    </row>
    <row r="3" customFormat="false" ht="15" hidden="false" customHeight="true" outlineLevel="0" collapsed="false">
      <c r="A3" s="3" t="s">
        <v>50</v>
      </c>
      <c r="B3" s="5" t="n">
        <v>18600000</v>
      </c>
      <c r="C3" s="3" t="s">
        <v>51</v>
      </c>
      <c r="D3" s="3" t="s">
        <v>52</v>
      </c>
    </row>
    <row r="4" customFormat="false" ht="15" hidden="false" customHeight="true" outlineLevel="0" collapsed="false">
      <c r="A4" s="3" t="s">
        <v>53</v>
      </c>
      <c r="B4" s="5" t="n">
        <v>9800000</v>
      </c>
      <c r="C4" s="3" t="s">
        <v>54</v>
      </c>
      <c r="D4" s="3" t="s">
        <v>55</v>
      </c>
    </row>
    <row r="5" customFormat="false" ht="15" hidden="false" customHeight="true" outlineLevel="0" collapsed="false">
      <c r="A5" s="3" t="s">
        <v>56</v>
      </c>
      <c r="B5" s="5" t="n">
        <v>14200000</v>
      </c>
      <c r="C5" s="3" t="s">
        <v>54</v>
      </c>
      <c r="D5" s="3" t="s">
        <v>57</v>
      </c>
    </row>
    <row r="6" customFormat="false" ht="15" hidden="false" customHeight="true" outlineLevel="0" collapsed="false">
      <c r="A6" s="3" t="s">
        <v>58</v>
      </c>
      <c r="B6" s="5" t="n">
        <v>20000000</v>
      </c>
      <c r="C6" s="3" t="s">
        <v>59</v>
      </c>
      <c r="D6" s="3" t="s">
        <v>60</v>
      </c>
    </row>
    <row r="7" customFormat="false" ht="15" hidden="false" customHeight="true" outlineLevel="0" collapsed="false">
      <c r="A7" s="3"/>
      <c r="B7" s="5"/>
      <c r="C7" s="3"/>
      <c r="D7" s="3"/>
    </row>
    <row r="8" customFormat="false" ht="15" hidden="false" customHeight="true" outlineLevel="0" collapsed="false">
      <c r="A8" s="3" t="s">
        <v>61</v>
      </c>
      <c r="B8" s="5" t="n">
        <f aca="false">SUM(B3:B5)</f>
        <v>42600000</v>
      </c>
      <c r="C8" s="3" t="s">
        <v>62</v>
      </c>
      <c r="D8" s="3"/>
    </row>
    <row r="9" customFormat="false" ht="15" hidden="false" customHeight="true" outlineLevel="0" collapsed="false">
      <c r="A9" s="3" t="s">
        <v>63</v>
      </c>
      <c r="B9" s="5" t="n">
        <f aca="false">MAX(0,B8-B2)</f>
        <v>15100000</v>
      </c>
      <c r="C9" s="3" t="s">
        <v>62</v>
      </c>
      <c r="D9" s="3"/>
    </row>
  </sheetData>
  <autoFilter ref="A1:D9"/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7" min="6" style="1" width="18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18"/>
    <col collapsed="false" customWidth="true" hidden="false" outlineLevel="0" max="11" min="11" style="1" width="22"/>
  </cols>
  <sheetData>
    <row r="1" customFormat="false" ht="17.25" hidden="false" customHeight="true" outlineLevel="0" collapsed="false">
      <c r="A1" s="11" t="s">
        <v>64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27.75" hidden="false" customHeight="true" outlineLevel="0" collapsed="false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72</v>
      </c>
      <c r="I3" s="2" t="s">
        <v>12</v>
      </c>
      <c r="J3" s="2" t="s">
        <v>73</v>
      </c>
      <c r="K3" s="2" t="s">
        <v>45</v>
      </c>
    </row>
    <row r="4" customFormat="false" ht="27.75" hidden="false" customHeight="true" outlineLevel="0" collapsed="false">
      <c r="A4" s="3" t="s">
        <v>14</v>
      </c>
      <c r="B4" s="6" t="n">
        <f aca="false">Indicadores!F30</f>
        <v>0.85</v>
      </c>
      <c r="C4" s="6" t="n">
        <f aca="false">Indicadores!G30</f>
        <v>0.044</v>
      </c>
      <c r="D4" s="6" t="n">
        <f aca="false">Indicadores!H30</f>
        <v>0.053</v>
      </c>
      <c r="E4" s="3" t="n">
        <f aca="false">Indicadores!J30</f>
        <v>280</v>
      </c>
      <c r="F4" s="5" t="n">
        <f aca="false">Indicadores!K30</f>
        <v>35600000</v>
      </c>
      <c r="G4" s="5" t="n">
        <f aca="false">Indicadores!L30</f>
        <v>30000000</v>
      </c>
      <c r="H4" s="5" t="n">
        <f aca="false">F4-G4</f>
        <v>5600000</v>
      </c>
      <c r="I4" s="3" t="n">
        <f aca="false">Indicadores!M30</f>
        <v>77</v>
      </c>
      <c r="J4" s="3" t="n">
        <f aca="false">Indicadores!N30</f>
        <v>57</v>
      </c>
      <c r="K4" s="12" t="str">
        <f aca="false">IF(OR(B4&lt;0.9,C4&gt;0.05,D4&gt;0.05,E4&gt;120,H4&gt;0,I4&lt;85,J4&gt;50),"REQUIERE ATENCION","EN META")</f>
        <v>REQUIERE ATENCION</v>
      </c>
    </row>
    <row r="5" customFormat="false" ht="27.75" hidden="false" customHeight="true" outlineLevel="0" collapsed="false">
      <c r="A5" s="3" t="s">
        <v>15</v>
      </c>
      <c r="B5" s="6" t="n">
        <f aca="false">Indicadores!F31</f>
        <v>0.92</v>
      </c>
      <c r="C5" s="6" t="n">
        <f aca="false">Indicadores!G31</f>
        <v>0.04</v>
      </c>
      <c r="D5" s="6" t="n">
        <f aca="false">Indicadores!H31</f>
        <v>0.048</v>
      </c>
      <c r="E5" s="3" t="n">
        <f aca="false">Indicadores!J31</f>
        <v>165</v>
      </c>
      <c r="F5" s="5" t="n">
        <f aca="false">Indicadores!K31</f>
        <v>35200000</v>
      </c>
      <c r="G5" s="5" t="n">
        <f aca="false">Indicadores!L31</f>
        <v>34000000</v>
      </c>
      <c r="H5" s="5" t="n">
        <f aca="false">F5-G5</f>
        <v>1200000</v>
      </c>
      <c r="I5" s="3" t="n">
        <f aca="false">Indicadores!M31</f>
        <v>83</v>
      </c>
      <c r="J5" s="3" t="n">
        <f aca="false">Indicadores!N31</f>
        <v>57</v>
      </c>
      <c r="K5" s="12" t="str">
        <f aca="false">IF(OR(B5&lt;0.9,C5&gt;0.05,D5&gt;0.05,E5&gt;120,H5&gt;0,I5&lt;85,J5&gt;50),"REQUIERE ATENCION","EN META")</f>
        <v>REQUIERE ATENCION</v>
      </c>
    </row>
    <row r="6" customFormat="false" ht="27.75" hidden="false" customHeight="true" outlineLevel="0" collapsed="false">
      <c r="A6" s="3" t="s">
        <v>16</v>
      </c>
      <c r="B6" s="6" t="n">
        <f aca="false">Indicadores!F32</f>
        <v>0.91</v>
      </c>
      <c r="C6" s="6" t="n">
        <f aca="false">Indicadores!G32</f>
        <v>0.055</v>
      </c>
      <c r="D6" s="6" t="n">
        <f aca="false">Indicadores!H32</f>
        <v>0.078</v>
      </c>
      <c r="E6" s="3" t="n">
        <f aca="false">Indicadores!J32</f>
        <v>150</v>
      </c>
      <c r="F6" s="5" t="n">
        <f aca="false">Indicadores!K32</f>
        <v>30500000</v>
      </c>
      <c r="G6" s="5" t="n">
        <f aca="false">Indicadores!L32</f>
        <v>29000000</v>
      </c>
      <c r="H6" s="5" t="n">
        <f aca="false">F6-G6</f>
        <v>1500000</v>
      </c>
      <c r="I6" s="3" t="n">
        <f aca="false">Indicadores!M32</f>
        <v>75</v>
      </c>
      <c r="J6" s="3" t="n">
        <f aca="false">Indicadores!N32</f>
        <v>54</v>
      </c>
      <c r="K6" s="12" t="str">
        <f aca="false">IF(OR(B6&lt;0.9,C6&gt;0.05,D6&gt;0.05,E6&gt;120,H6&gt;0,I6&lt;85,J6&gt;50),"REQUIERE ATENCION","EN META")</f>
        <v>REQUIERE ATENCION</v>
      </c>
    </row>
    <row r="7" customFormat="false" ht="27.75" hidden="false" customHeight="true" outlineLevel="0" collapsed="false">
      <c r="A7" s="3" t="s">
        <v>17</v>
      </c>
      <c r="B7" s="6" t="n">
        <f aca="false">Indicadores!F33</f>
        <v>0.94</v>
      </c>
      <c r="C7" s="6" t="n">
        <f aca="false">Indicadores!G33</f>
        <v>0.034</v>
      </c>
      <c r="D7" s="6" t="n">
        <f aca="false">Indicadores!H33</f>
        <v>0.04</v>
      </c>
      <c r="E7" s="3" t="n">
        <f aca="false">Indicadores!J33</f>
        <v>85</v>
      </c>
      <c r="F7" s="5" t="n">
        <f aca="false">Indicadores!K33</f>
        <v>27400000</v>
      </c>
      <c r="G7" s="5" t="n">
        <f aca="false">Indicadores!L33</f>
        <v>27500000</v>
      </c>
      <c r="H7" s="5" t="n">
        <f aca="false">F7-G7</f>
        <v>-100000</v>
      </c>
      <c r="I7" s="3" t="n">
        <f aca="false">Indicadores!M33</f>
        <v>88</v>
      </c>
      <c r="J7" s="3" t="n">
        <f aca="false">Indicadores!N33</f>
        <v>46</v>
      </c>
      <c r="K7" s="12" t="str">
        <f aca="false">IF(OR(B7&lt;0.9,C7&gt;0.05,D7&gt;0.05,E7&gt;120,H7&gt;0,I7&lt;85,J7&gt;50),"REQUIERE ATENCION","EN META")</f>
        <v>EN META</v>
      </c>
    </row>
  </sheetData>
  <mergeCells count="1">
    <mergeCell ref="A1:K1"/>
  </mergeCells>
  <conditionalFormatting sqref="K4:K7">
    <cfRule type="expression" priority="2" aboveAverage="0" equalAverage="0" bottom="0" percent="0" rank="0" text="" dxfId="5">
      <formula>K4="REQUIERE ATENCION"</formula>
    </cfRule>
    <cfRule type="expression" priority="3" aboveAverage="0" equalAverage="0" bottom="0" percent="0" rank="0" text="" dxfId="6">
      <formula>K4="EN META"</formula>
    </cfRule>
  </conditionalFormatting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2"/>
  </cols>
  <sheetData>
    <row r="1" customFormat="false" ht="15" hidden="false" customHeight="true" outlineLevel="0" collapsed="false">
      <c r="A1" s="2" t="s">
        <v>0</v>
      </c>
      <c r="B1" s="2" t="s">
        <v>14</v>
      </c>
      <c r="C1" s="2" t="s">
        <v>15</v>
      </c>
      <c r="D1" s="2" t="s">
        <v>16</v>
      </c>
      <c r="E1" s="2" t="s">
        <v>17</v>
      </c>
    </row>
    <row r="2" customFormat="false" ht="15" hidden="false" customHeight="true" outlineLevel="0" collapsed="false">
      <c r="A2" s="3" t="n">
        <v>1</v>
      </c>
      <c r="B2" s="6" t="n">
        <f aca="false">Indicadores!F2</f>
        <v>0.95</v>
      </c>
      <c r="C2" s="6" t="n">
        <f aca="false">Indicadores!F3</f>
        <v>0.95</v>
      </c>
      <c r="D2" s="6" t="n">
        <f aca="false">Indicadores!F4</f>
        <v>0.94</v>
      </c>
      <c r="E2" s="6" t="n">
        <f aca="false">Indicadores!F5</f>
        <v>0.95</v>
      </c>
    </row>
    <row r="3" customFormat="false" ht="15" hidden="false" customHeight="true" outlineLevel="0" collapsed="false">
      <c r="A3" s="3" t="n">
        <v>2</v>
      </c>
      <c r="B3" s="6" t="n">
        <f aca="false">Indicadores!F6</f>
        <v>0.95</v>
      </c>
      <c r="C3" s="6" t="n">
        <f aca="false">Indicadores!F7</f>
        <v>0.95</v>
      </c>
      <c r="D3" s="6" t="n">
        <f aca="false">Indicadores!F8</f>
        <v>0.94</v>
      </c>
      <c r="E3" s="6" t="n">
        <f aca="false">Indicadores!F9</f>
        <v>0.95</v>
      </c>
    </row>
    <row r="4" customFormat="false" ht="15" hidden="false" customHeight="true" outlineLevel="0" collapsed="false">
      <c r="A4" s="3" t="n">
        <v>3</v>
      </c>
      <c r="B4" s="6" t="n">
        <f aca="false">Indicadores!F10</f>
        <v>0.94</v>
      </c>
      <c r="C4" s="6" t="n">
        <f aca="false">Indicadores!F11</f>
        <v>0.94</v>
      </c>
      <c r="D4" s="6" t="n">
        <f aca="false">Indicadores!F12</f>
        <v>0.93</v>
      </c>
      <c r="E4" s="6" t="n">
        <f aca="false">Indicadores!F13</f>
        <v>0.95</v>
      </c>
    </row>
    <row r="5" customFormat="false" ht="15" hidden="false" customHeight="true" outlineLevel="0" collapsed="false">
      <c r="A5" s="3" t="n">
        <v>4</v>
      </c>
      <c r="B5" s="6" t="n">
        <f aca="false">Indicadores!F14</f>
        <v>0.92</v>
      </c>
      <c r="C5" s="6" t="n">
        <f aca="false">Indicadores!F15</f>
        <v>0.94</v>
      </c>
      <c r="D5" s="6" t="n">
        <f aca="false">Indicadores!F16</f>
        <v>0.92</v>
      </c>
      <c r="E5" s="6" t="n">
        <f aca="false">Indicadores!F17</f>
        <v>0.94</v>
      </c>
    </row>
    <row r="6" customFormat="false" ht="15" hidden="false" customHeight="true" outlineLevel="0" collapsed="false">
      <c r="A6" s="3" t="n">
        <v>5</v>
      </c>
      <c r="B6" s="6" t="n">
        <f aca="false">Indicadores!F18</f>
        <v>0.88</v>
      </c>
      <c r="C6" s="6" t="n">
        <f aca="false">Indicadores!F19</f>
        <v>0.93</v>
      </c>
      <c r="D6" s="6" t="n">
        <f aca="false">Indicadores!F20</f>
        <v>0.9</v>
      </c>
      <c r="E6" s="6" t="n">
        <f aca="false">Indicadores!F21</f>
        <v>0.94</v>
      </c>
    </row>
    <row r="7" customFormat="false" ht="15" hidden="false" customHeight="true" outlineLevel="0" collapsed="false">
      <c r="A7" s="3" t="n">
        <v>6</v>
      </c>
      <c r="B7" s="6" t="n">
        <f aca="false">Indicadores!F22</f>
        <v>0.82</v>
      </c>
      <c r="C7" s="6" t="n">
        <f aca="false">Indicadores!F23</f>
        <v>0.92</v>
      </c>
      <c r="D7" s="6" t="n">
        <f aca="false">Indicadores!F24</f>
        <v>0.89</v>
      </c>
      <c r="E7" s="6" t="n">
        <f aca="false">Indicadores!F25</f>
        <v>0.94</v>
      </c>
    </row>
    <row r="8" customFormat="false" ht="15" hidden="false" customHeight="true" outlineLevel="0" collapsed="false">
      <c r="A8" s="3" t="n">
        <v>7</v>
      </c>
      <c r="B8" s="6" t="n">
        <f aca="false">Indicadores!F26</f>
        <v>0.83</v>
      </c>
      <c r="C8" s="6" t="n">
        <f aca="false">Indicadores!F27</f>
        <v>0.92</v>
      </c>
      <c r="D8" s="6" t="n">
        <f aca="false">Indicadores!F28</f>
        <v>0.9</v>
      </c>
      <c r="E8" s="6" t="n">
        <f aca="false">Indicadores!F29</f>
        <v>0.94</v>
      </c>
    </row>
    <row r="9" customFormat="false" ht="15" hidden="false" customHeight="true" outlineLevel="0" collapsed="false">
      <c r="A9" s="3" t="n">
        <v>8</v>
      </c>
      <c r="B9" s="6" t="n">
        <f aca="false">Indicadores!F30</f>
        <v>0.85</v>
      </c>
      <c r="C9" s="6" t="n">
        <f aca="false">Indicadores!F31</f>
        <v>0.92</v>
      </c>
      <c r="D9" s="6" t="n">
        <f aca="false">Indicadores!F32</f>
        <v>0.91</v>
      </c>
      <c r="E9" s="6" t="n">
        <f aca="false">Indicadores!F33</f>
        <v>0.94</v>
      </c>
    </row>
  </sheetData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5"/>
    <col collapsed="false" customWidth="true" hidden="false" outlineLevel="0" max="3" min="3" style="1" width="18"/>
  </cols>
  <sheetData>
    <row r="1" customFormat="false" ht="15.75" hidden="false" customHeight="true" outlineLevel="0" collapsed="false">
      <c r="A1" s="13" t="s">
        <v>74</v>
      </c>
      <c r="B1" s="13"/>
      <c r="C1" s="13"/>
    </row>
    <row r="2" customFormat="false" ht="27.75" hidden="false" customHeight="true" outlineLevel="0" collapsed="false">
      <c r="A2" s="14" t="s">
        <v>75</v>
      </c>
      <c r="B2" s="14"/>
      <c r="C2" s="14"/>
    </row>
    <row r="3" customFormat="false" ht="15" hidden="false" customHeight="true" outlineLevel="0" collapsed="false">
      <c r="A3" s="2" t="s">
        <v>76</v>
      </c>
      <c r="B3" s="2" t="s">
        <v>77</v>
      </c>
      <c r="C3" s="2" t="s">
        <v>78</v>
      </c>
    </row>
    <row r="4" customFormat="false" ht="15" hidden="false" customHeight="true" outlineLevel="0" collapsed="false">
      <c r="A4" s="3" t="s">
        <v>0</v>
      </c>
      <c r="B4" s="3" t="s">
        <v>79</v>
      </c>
      <c r="C4" s="3" t="s">
        <v>80</v>
      </c>
    </row>
    <row r="5" customFormat="false" ht="15" hidden="false" customHeight="true" outlineLevel="0" collapsed="false">
      <c r="A5" s="3" t="s">
        <v>1</v>
      </c>
      <c r="B5" s="3" t="s">
        <v>81</v>
      </c>
      <c r="C5" s="3" t="s">
        <v>82</v>
      </c>
    </row>
    <row r="6" customFormat="false" ht="15" hidden="false" customHeight="true" outlineLevel="0" collapsed="false">
      <c r="A6" s="3" t="s">
        <v>2</v>
      </c>
      <c r="B6" s="3" t="s">
        <v>83</v>
      </c>
      <c r="C6" s="3" t="s">
        <v>84</v>
      </c>
    </row>
    <row r="7" customFormat="false" ht="15" hidden="false" customHeight="true" outlineLevel="0" collapsed="false">
      <c r="A7" s="3" t="s">
        <v>3</v>
      </c>
      <c r="B7" s="3" t="s">
        <v>85</v>
      </c>
      <c r="C7" s="3" t="s">
        <v>80</v>
      </c>
    </row>
    <row r="8" customFormat="false" ht="15" hidden="false" customHeight="true" outlineLevel="0" collapsed="false">
      <c r="A8" s="3" t="s">
        <v>4</v>
      </c>
      <c r="B8" s="3" t="s">
        <v>86</v>
      </c>
      <c r="C8" s="3" t="s">
        <v>87</v>
      </c>
    </row>
    <row r="9" customFormat="false" ht="15" hidden="false" customHeight="true" outlineLevel="0" collapsed="false">
      <c r="A9" s="3" t="s">
        <v>5</v>
      </c>
      <c r="B9" s="3" t="s">
        <v>88</v>
      </c>
      <c r="C9" s="3" t="s">
        <v>89</v>
      </c>
    </row>
    <row r="10" customFormat="false" ht="15" hidden="false" customHeight="true" outlineLevel="0" collapsed="false">
      <c r="A10" s="3" t="s">
        <v>6</v>
      </c>
      <c r="B10" s="3" t="s">
        <v>90</v>
      </c>
      <c r="C10" s="3" t="s">
        <v>89</v>
      </c>
    </row>
    <row r="11" customFormat="false" ht="15" hidden="false" customHeight="true" outlineLevel="0" collapsed="false">
      <c r="A11" s="3" t="s">
        <v>7</v>
      </c>
      <c r="B11" s="3" t="s">
        <v>91</v>
      </c>
      <c r="C11" s="3" t="s">
        <v>89</v>
      </c>
    </row>
    <row r="12" customFormat="false" ht="15" hidden="false" customHeight="true" outlineLevel="0" collapsed="false">
      <c r="A12" s="3" t="s">
        <v>8</v>
      </c>
      <c r="B12" s="3" t="s">
        <v>92</v>
      </c>
      <c r="C12" s="3" t="s">
        <v>80</v>
      </c>
    </row>
    <row r="13" customFormat="false" ht="15" hidden="false" customHeight="true" outlineLevel="0" collapsed="false">
      <c r="A13" s="3" t="s">
        <v>9</v>
      </c>
      <c r="B13" s="3" t="s">
        <v>93</v>
      </c>
      <c r="C13" s="3" t="s">
        <v>80</v>
      </c>
    </row>
    <row r="14" customFormat="false" ht="15" hidden="false" customHeight="true" outlineLevel="0" collapsed="false">
      <c r="A14" s="3" t="s">
        <v>10</v>
      </c>
      <c r="B14" s="3" t="s">
        <v>94</v>
      </c>
      <c r="C14" s="3" t="s">
        <v>87</v>
      </c>
    </row>
    <row r="15" customFormat="false" ht="15" hidden="false" customHeight="true" outlineLevel="0" collapsed="false">
      <c r="A15" s="3" t="s">
        <v>11</v>
      </c>
      <c r="B15" s="3" t="s">
        <v>95</v>
      </c>
      <c r="C15" s="3" t="s">
        <v>87</v>
      </c>
    </row>
    <row r="16" customFormat="false" ht="15" hidden="false" customHeight="true" outlineLevel="0" collapsed="false">
      <c r="A16" s="3" t="s">
        <v>12</v>
      </c>
      <c r="B16" s="3" t="s">
        <v>96</v>
      </c>
      <c r="C16" s="3" t="s">
        <v>80</v>
      </c>
    </row>
    <row r="17" customFormat="false" ht="15" hidden="false" customHeight="true" outlineLevel="0" collapsed="false">
      <c r="A17" s="3" t="s">
        <v>13</v>
      </c>
      <c r="B17" s="3" t="s">
        <v>97</v>
      </c>
      <c r="C17" s="3" t="s">
        <v>80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2026-07-27T17:09:49Z</dcterms:created>
  <dc:creator>Netec</dc:creator>
  <dc:description/>
  <dc:language>en-US</dc:language>
  <cp:lastModifiedBy/>
  <dcterms:modified xsi:type="dcterms:W3CDTF">2026-07-28T22:05:27Z</dcterms:modified>
  <cp:revision>0</cp:revision>
  <dc:subject>Caso ficticio para taller de Copilot Cowork</dc:subject>
  <dc:title>Indicadores de la expansión del servicio Compra y Recoge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